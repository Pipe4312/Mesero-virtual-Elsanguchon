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kZjW8sGZRt2TFeBIQES/u2RTvagn2FE/orb1ljn0mc8="/>
    </ext>
  </extLst>
</workbook>
</file>

<file path=xl/sharedStrings.xml><?xml version="1.0" encoding="utf-8"?>
<sst xmlns="http://schemas.openxmlformats.org/spreadsheetml/2006/main" count="23" uniqueCount="23">
  <si>
    <t>Control del Sprint</t>
  </si>
  <si>
    <t>Ejemplo1</t>
  </si>
  <si>
    <t>Historias de Usuario o Spike</t>
  </si>
  <si>
    <t>horas estimadas</t>
  </si>
  <si>
    <t>DIA</t>
  </si>
  <si>
    <t>Total</t>
  </si>
  <si>
    <t>Definición de la Guía del Estudiante - Fase 1 APT</t>
  </si>
  <si>
    <t>Definición y Especificación de Historias de Usuario</t>
  </si>
  <si>
    <t>Diseño UI/UX y Prototipado en Figma</t>
  </si>
  <si>
    <t>Diseño del Modelo Entidad-Relación (DER)</t>
  </si>
  <si>
    <t>Elaboración del Diccionario de Datos</t>
  </si>
  <si>
    <t>Definición de Arquitectura Técnica y Stack Tecnológico</t>
  </si>
  <si>
    <t>US-001 - T1: Configuración y entrenamiento Modelo NLP</t>
  </si>
  <si>
    <t>US-001 - T2: Desarrollo Frontend: Interfaz Chatbot</t>
  </si>
  <si>
    <t>US-001 - T3: Conexión Frontend con IA (Backend API)</t>
  </si>
  <si>
    <t>US-003 - T1: Desarrollo Backend: API RESTful</t>
  </si>
  <si>
    <t>US-003 - T2: Desarrollo Frontend: Panel Administrador</t>
  </si>
  <si>
    <t>US-003 - T3: Conexión a BD para actualización de estado</t>
  </si>
  <si>
    <t>US-004 - T1: Diseño de BD y Poblado Inicial</t>
  </si>
  <si>
    <t>US-004 - T2: Desarrollo Frontend: Carrito de Compras</t>
  </si>
  <si>
    <t>US-004 - T3: Lógica Backend: CRUD de sesión Carrito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</si>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</sst>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63D297"/>
        <bgColor rgb="FF63D297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vertical="bottom"/>
    </xf>
    <xf borderId="7" fillId="3" fontId="3" numFmtId="0" xfId="0" applyAlignment="1" applyBorder="1" applyFill="1" applyFont="1">
      <alignment horizontal="center" shrinkToFit="0" vertical="bottom" wrapText="1"/>
    </xf>
    <xf borderId="7" fillId="4" fontId="3" numFmtId="0" xfId="0" applyAlignment="1" applyBorder="1" applyFill="1" applyFont="1">
      <alignment horizontal="right" vertical="bottom"/>
    </xf>
    <xf borderId="7" fillId="3" fontId="3" numFmtId="0" xfId="0" applyAlignment="1" applyBorder="1" applyFill="1" applyFont="1">
      <alignment horizontal="right" vertical="bottom"/>
    </xf>
    <xf borderId="7" fillId="5" fontId="3" numFmtId="0" xfId="0" applyAlignment="1" applyBorder="1" applyFill="1" applyFont="1">
      <alignment vertical="bottom"/>
    </xf>
    <xf borderId="7" fillId="4" fontId="3" numFmtId="0" xfId="0" applyAlignment="1" applyBorder="1" applyFill="1" applyFont="1">
      <alignment vertical="bottom"/>
    </xf>
    <xf borderId="7" fillId="4" fontId="3" numFmtId="0" xfId="0" applyAlignment="1" applyBorder="1" applyFill="1" applyFont="1">
      <alignment vertical="bottom"/>
    </xf>
    <xf borderId="7" fillId="3" fontId="3" numFmtId="0" xfId="0" applyAlignment="1" applyBorder="1" applyFill="1" applyFont="1">
      <alignment horizontal="center" shrinkToFit="0" vertical="bottom" wrapText="1"/>
    </xf>
    <xf borderId="7" fillId="4" fontId="3" numFmtId="0" xfId="0" applyAlignment="1" applyBorder="1" applyFill="1" applyFont="1">
      <alignment horizontal="right" vertical="bottom"/>
    </xf>
    <xf borderId="7" fillId="3" fontId="3" numFmtId="0" xfId="0" applyAlignment="1" applyBorder="1" applyFill="1" applyFont="1">
      <alignment horizontal="right" vertical="bottom"/>
    </xf>
    <xf borderId="7" fillId="5" fontId="3" numFmtId="0" xfId="0" applyAlignment="1" applyBorder="1" applyFill="1" applyFont="1">
      <alignment shrinkToFit="0" vertical="bottom" wrapText="1"/>
    </xf>
    <xf borderId="7" fillId="4" fontId="3" numFmtId="0" xfId="0" applyAlignment="1" applyBorder="1" applyFill="1" applyFont="1">
      <alignment shrinkToFit="0" vertical="bottom" wrapText="1"/>
    </xf>
    <xf borderId="7" fillId="5" fontId="3" numFmtId="0" xfId="0" applyAlignment="1" applyBorder="1" applyFill="1" applyFont="1">
      <alignment shrinkToFit="0" vertical="bottom" wrapText="1"/>
    </xf>
    <xf borderId="7" fillId="4" fontId="3" numFmtId="0" xfId="0" applyAlignment="1" applyBorder="1" applyFill="1" applyFont="1">
      <alignment shrinkToFit="0" vertical="bottom" wrapText="1"/>
    </xf>
    <xf borderId="7" fillId="3" fontId="3" numFmtId="0" xfId="0" applyAlignment="1" applyBorder="1" applyFill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Ejempl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Ejemplo1!$B$21:$V$21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Ejemplo1!$B$23:$V$23</c:f>
              <c:numCache/>
            </c:numRef>
          </c:val>
          <c:smooth val="0"/>
        </c:ser>
        <c:axId val="1406637955"/>
        <c:axId val="579242310"/>
      </c:lineChart>
      <c:catAx>
        <c:axId val="1406637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9242310"/>
      </c:catAx>
      <c:valAx>
        <c:axId val="579242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663795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3257550"/>
    <xdr:graphicFrame>
      <xdr:nvGraphicFramePr>
        <xdr:cNvPr id="203571913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5:A19" displayName="Table_1" name="Table_1" id="1">
  <tableColumns count="1">
    <tableColumn name="Definición de la Guía del Estudiante - Fase 1 APT" id="1"/>
  </tableColumns>
  <tableStyleInfo name="Ejempl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7.0"/>
    <col customWidth="1" min="3" max="3" width="4.0"/>
    <col customWidth="1" min="4" max="22" width="3.43"/>
    <col customWidth="1" min="23" max="29" width="10.71"/>
  </cols>
  <sheetData>
    <row r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>
      <c r="A5" s="10" t="s">
        <v>6</v>
      </c>
      <c r="B5" s="11">
        <v>10.0</v>
      </c>
      <c r="C5" s="12">
        <v>6.0</v>
      </c>
      <c r="D5" s="12">
        <v>4.0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3">
        <f t="shared" ref="W5:W19" si="1">SUM(C5:V5)</f>
        <v>10</v>
      </c>
    </row>
    <row r="6">
      <c r="A6" s="14" t="s">
        <v>7</v>
      </c>
      <c r="B6" s="11">
        <v>15.0</v>
      </c>
      <c r="C6" s="12">
        <v>3.0</v>
      </c>
      <c r="D6" s="12">
        <v>5.0</v>
      </c>
      <c r="E6" s="12">
        <v>4.0</v>
      </c>
      <c r="F6" s="12">
        <v>3.0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3">
        <f t="shared" si="1"/>
        <v>15</v>
      </c>
    </row>
    <row r="7">
      <c r="A7" s="15" t="s">
        <v>8</v>
      </c>
      <c r="B7" s="11">
        <v>30.0</v>
      </c>
      <c r="C7" s="12">
        <v>0.0</v>
      </c>
      <c r="D7" s="12">
        <v>4.0</v>
      </c>
      <c r="E7" s="12">
        <v>6.0</v>
      </c>
      <c r="F7" s="12">
        <v>5.0</v>
      </c>
      <c r="G7" s="12">
        <v>6.0</v>
      </c>
      <c r="H7" s="12">
        <v>5.0</v>
      </c>
      <c r="I7" s="12">
        <v>4.0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3">
        <f t="shared" si="1"/>
        <v>30</v>
      </c>
    </row>
    <row r="8">
      <c r="A8" s="14" t="s">
        <v>9</v>
      </c>
      <c r="B8" s="11">
        <v>20.0</v>
      </c>
      <c r="C8" s="12">
        <v>0.0</v>
      </c>
      <c r="D8" s="12">
        <v>0.0</v>
      </c>
      <c r="E8" s="12">
        <v>0.0</v>
      </c>
      <c r="F8" s="12">
        <v>4.0</v>
      </c>
      <c r="G8" s="12">
        <v>5.0</v>
      </c>
      <c r="H8" s="12">
        <v>6.0</v>
      </c>
      <c r="I8" s="12">
        <v>5.0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3">
        <f t="shared" si="1"/>
        <v>20</v>
      </c>
    </row>
    <row r="9">
      <c r="A9" s="15" t="s">
        <v>10</v>
      </c>
      <c r="B9" s="11">
        <v>15.0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2">
        <v>3.0</v>
      </c>
      <c r="I9" s="12">
        <v>4.0</v>
      </c>
      <c r="J9" s="12">
        <v>5.0</v>
      </c>
      <c r="K9" s="12">
        <v>3.0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3">
        <f t="shared" si="1"/>
        <v>15</v>
      </c>
    </row>
    <row r="10">
      <c r="A10" s="14" t="s">
        <v>11</v>
      </c>
      <c r="B10" s="11">
        <v>10.0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3.0</v>
      </c>
      <c r="J10" s="12">
        <v>4.0</v>
      </c>
      <c r="K10" s="12">
        <v>3.0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3">
        <f t="shared" si="1"/>
        <v>10</v>
      </c>
    </row>
    <row r="11">
      <c r="A11" s="16" t="s">
        <v>12</v>
      </c>
      <c r="B11" s="17">
        <v>15.0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4.0</v>
      </c>
      <c r="L11" s="18">
        <v>5.0</v>
      </c>
      <c r="M11" s="18">
        <v>4.0</v>
      </c>
      <c r="N11" s="18">
        <v>2.0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9">
        <f t="shared" si="1"/>
        <v>15</v>
      </c>
    </row>
    <row r="12">
      <c r="A12" s="20" t="s">
        <v>13</v>
      </c>
      <c r="B12" s="17">
        <v>10.0</v>
      </c>
      <c r="C12" s="18">
        <v>0.0</v>
      </c>
      <c r="D12" s="18">
        <v>0.0</v>
      </c>
      <c r="E12" s="18">
        <v>0.0</v>
      </c>
      <c r="F12" s="18">
        <v>0.0</v>
      </c>
      <c r="G12" s="18">
        <v>0.0</v>
      </c>
      <c r="H12" s="18">
        <v>0.0</v>
      </c>
      <c r="I12" s="18">
        <v>0.0</v>
      </c>
      <c r="J12" s="18">
        <v>0.0</v>
      </c>
      <c r="K12" s="18">
        <v>0.0</v>
      </c>
      <c r="L12" s="18">
        <v>3.0</v>
      </c>
      <c r="M12" s="18">
        <v>4.0</v>
      </c>
      <c r="N12" s="18">
        <v>3.0</v>
      </c>
      <c r="O12" s="18">
        <v>0.0</v>
      </c>
      <c r="P12" s="18">
        <v>0.0</v>
      </c>
      <c r="Q12" s="18">
        <v>0.0</v>
      </c>
      <c r="R12" s="18">
        <v>0.0</v>
      </c>
      <c r="S12" s="18">
        <v>0.0</v>
      </c>
      <c r="T12" s="18">
        <v>0.0</v>
      </c>
      <c r="U12" s="18">
        <v>0.0</v>
      </c>
      <c r="V12" s="18">
        <v>0.0</v>
      </c>
      <c r="W12" s="19">
        <f t="shared" si="1"/>
        <v>10</v>
      </c>
    </row>
    <row r="13">
      <c r="A13" s="21" t="s">
        <v>14</v>
      </c>
      <c r="B13" s="17">
        <v>8.0</v>
      </c>
      <c r="C13" s="18">
        <v>0.0</v>
      </c>
      <c r="D13" s="18">
        <v>0.0</v>
      </c>
      <c r="E13" s="18">
        <v>0.0</v>
      </c>
      <c r="F13" s="18">
        <v>0.0</v>
      </c>
      <c r="G13" s="18">
        <v>0.0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8">
        <v>0.0</v>
      </c>
      <c r="N13" s="18">
        <v>3.0</v>
      </c>
      <c r="O13" s="18">
        <v>3.0</v>
      </c>
      <c r="P13" s="18">
        <v>2.0</v>
      </c>
      <c r="Q13" s="18">
        <v>0.0</v>
      </c>
      <c r="R13" s="18">
        <v>0.0</v>
      </c>
      <c r="S13" s="18">
        <v>0.0</v>
      </c>
      <c r="T13" s="18">
        <v>0.0</v>
      </c>
      <c r="U13" s="18">
        <v>0.0</v>
      </c>
      <c r="V13" s="18">
        <v>0.0</v>
      </c>
      <c r="W13" s="19">
        <f t="shared" si="1"/>
        <v>8</v>
      </c>
    </row>
    <row r="14">
      <c r="A14" s="20" t="s">
        <v>15</v>
      </c>
      <c r="B14" s="17">
        <v>12.0</v>
      </c>
      <c r="C14" s="18">
        <v>0.0</v>
      </c>
      <c r="D14" s="18">
        <v>0.0</v>
      </c>
      <c r="E14" s="18">
        <v>0.0</v>
      </c>
      <c r="F14" s="18">
        <v>0.0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2.0</v>
      </c>
      <c r="O14" s="18">
        <v>4.0</v>
      </c>
      <c r="P14" s="18">
        <v>4.0</v>
      </c>
      <c r="Q14" s="18">
        <v>2.0</v>
      </c>
      <c r="R14" s="18">
        <v>0.0</v>
      </c>
      <c r="S14" s="18">
        <v>0.0</v>
      </c>
      <c r="T14" s="18">
        <v>0.0</v>
      </c>
      <c r="U14" s="18">
        <v>0.0</v>
      </c>
      <c r="V14" s="18">
        <v>0.0</v>
      </c>
      <c r="W14" s="19">
        <f t="shared" si="1"/>
        <v>12</v>
      </c>
    </row>
    <row r="15">
      <c r="A15" s="21" t="s">
        <v>16</v>
      </c>
      <c r="B15" s="17">
        <v>15.0</v>
      </c>
      <c r="C15" s="18">
        <v>0.0</v>
      </c>
      <c r="D15" s="18">
        <v>0.0</v>
      </c>
      <c r="E15" s="18">
        <v>0.0</v>
      </c>
      <c r="F15" s="18">
        <v>0.0</v>
      </c>
      <c r="G15" s="18">
        <v>0.0</v>
      </c>
      <c r="H15" s="18">
        <v>0.0</v>
      </c>
      <c r="I15" s="18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  <c r="O15" s="18">
        <v>0.0</v>
      </c>
      <c r="P15" s="18">
        <v>3.0</v>
      </c>
      <c r="Q15" s="18">
        <v>5.0</v>
      </c>
      <c r="R15" s="18">
        <v>4.0</v>
      </c>
      <c r="S15" s="18">
        <v>3.0</v>
      </c>
      <c r="T15" s="18">
        <v>0.0</v>
      </c>
      <c r="U15" s="18">
        <v>0.0</v>
      </c>
      <c r="V15" s="18">
        <v>0.0</v>
      </c>
      <c r="W15" s="19">
        <f t="shared" si="1"/>
        <v>15</v>
      </c>
    </row>
    <row r="16">
      <c r="A16" s="22" t="s">
        <v>17</v>
      </c>
      <c r="B16" s="11">
        <v>6.0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2.0</v>
      </c>
      <c r="R16" s="18">
        <v>2.0</v>
      </c>
      <c r="S16" s="18">
        <v>2.0</v>
      </c>
      <c r="T16" s="18">
        <v>0.0</v>
      </c>
      <c r="U16" s="18">
        <v>0.0</v>
      </c>
      <c r="V16" s="18">
        <v>0.0</v>
      </c>
      <c r="W16" s="19">
        <f t="shared" si="1"/>
        <v>6</v>
      </c>
    </row>
    <row r="17">
      <c r="A17" s="23" t="s">
        <v>18</v>
      </c>
      <c r="B17" s="24">
        <v>10.0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3.0</v>
      </c>
      <c r="S17" s="18">
        <v>4.0</v>
      </c>
      <c r="T17" s="18">
        <v>3.0</v>
      </c>
      <c r="U17" s="18">
        <v>0.0</v>
      </c>
      <c r="V17" s="18">
        <v>0.0</v>
      </c>
      <c r="W17" s="19">
        <f t="shared" si="1"/>
        <v>10</v>
      </c>
    </row>
    <row r="18">
      <c r="A18" s="22" t="s">
        <v>19</v>
      </c>
      <c r="B18" s="24">
        <v>10.0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2.0</v>
      </c>
      <c r="T18" s="18">
        <v>4.0</v>
      </c>
      <c r="U18" s="18">
        <v>4.0</v>
      </c>
      <c r="V18" s="18">
        <v>0.0</v>
      </c>
      <c r="W18" s="19">
        <f t="shared" si="1"/>
        <v>10</v>
      </c>
    </row>
    <row r="19">
      <c r="A19" s="23" t="s">
        <v>20</v>
      </c>
      <c r="B19" s="24">
        <v>10.0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8">
        <v>0.0</v>
      </c>
      <c r="K19" s="18">
        <v>0.0</v>
      </c>
      <c r="L19" s="18">
        <v>0.0</v>
      </c>
      <c r="M19" s="18">
        <v>0.0</v>
      </c>
      <c r="N19" s="18">
        <v>0.0</v>
      </c>
      <c r="O19" s="18">
        <v>0.0</v>
      </c>
      <c r="P19" s="18">
        <v>0.0</v>
      </c>
      <c r="Q19" s="18">
        <v>0.0</v>
      </c>
      <c r="R19" s="18">
        <v>0.0</v>
      </c>
      <c r="S19" s="18">
        <v>0.0</v>
      </c>
      <c r="T19" s="18">
        <v>2.0</v>
      </c>
      <c r="U19" s="18">
        <v>5.0</v>
      </c>
      <c r="V19" s="18">
        <v>3.0</v>
      </c>
      <c r="W19" s="19">
        <f t="shared" si="1"/>
        <v>10</v>
      </c>
    </row>
    <row r="20">
      <c r="A20" s="25"/>
      <c r="B20" s="26"/>
      <c r="C20" s="25"/>
      <c r="D20" s="25"/>
      <c r="E20" s="25"/>
      <c r="F20" s="25"/>
      <c r="G20" s="26"/>
      <c r="H20" s="25"/>
      <c r="I20" s="25"/>
    </row>
    <row r="21" ht="15.75" customHeight="1">
      <c r="A21" s="27" t="s">
        <v>21</v>
      </c>
      <c r="B21" s="2">
        <f>SUM(B5:B11)</f>
        <v>115</v>
      </c>
      <c r="C21" s="2">
        <f t="shared" ref="C21:V21" si="2">B21-SUM(C5:C10)</f>
        <v>106</v>
      </c>
      <c r="D21" s="2">
        <f t="shared" si="2"/>
        <v>93</v>
      </c>
      <c r="E21" s="2">
        <f t="shared" si="2"/>
        <v>83</v>
      </c>
      <c r="F21" s="2">
        <f t="shared" si="2"/>
        <v>71</v>
      </c>
      <c r="G21" s="2">
        <f t="shared" si="2"/>
        <v>60</v>
      </c>
      <c r="H21" s="2">
        <f t="shared" si="2"/>
        <v>46</v>
      </c>
      <c r="I21" s="2">
        <f t="shared" si="2"/>
        <v>30</v>
      </c>
      <c r="J21" s="2">
        <f t="shared" si="2"/>
        <v>21</v>
      </c>
      <c r="K21" s="2">
        <f t="shared" si="2"/>
        <v>15</v>
      </c>
      <c r="L21" s="2">
        <f t="shared" si="2"/>
        <v>15</v>
      </c>
      <c r="M21" s="2">
        <f t="shared" si="2"/>
        <v>15</v>
      </c>
      <c r="N21" s="2">
        <f t="shared" si="2"/>
        <v>15</v>
      </c>
      <c r="O21" s="2">
        <f t="shared" si="2"/>
        <v>15</v>
      </c>
      <c r="P21" s="2">
        <f t="shared" si="2"/>
        <v>15</v>
      </c>
      <c r="Q21" s="2">
        <f t="shared" si="2"/>
        <v>15</v>
      </c>
      <c r="R21" s="2">
        <f t="shared" si="2"/>
        <v>15</v>
      </c>
      <c r="S21" s="2">
        <f t="shared" si="2"/>
        <v>15</v>
      </c>
      <c r="T21" s="2">
        <f t="shared" si="2"/>
        <v>15</v>
      </c>
      <c r="U21" s="2">
        <f t="shared" si="2"/>
        <v>15</v>
      </c>
      <c r="V21" s="2">
        <f t="shared" si="2"/>
        <v>15</v>
      </c>
    </row>
    <row r="22" ht="15.75" customHeight="1"/>
    <row r="23" ht="15.75" customHeight="1">
      <c r="A23" s="27" t="s">
        <v>22</v>
      </c>
      <c r="B23" s="2">
        <f>SUM(B5:B10)</f>
        <v>100</v>
      </c>
      <c r="C23" s="2">
        <f t="shared" ref="C23:V23" si="3">B23-(SUM($B$5:$B$10)/20)</f>
        <v>95</v>
      </c>
      <c r="D23" s="2">
        <f t="shared" si="3"/>
        <v>90</v>
      </c>
      <c r="E23" s="2">
        <f t="shared" si="3"/>
        <v>85</v>
      </c>
      <c r="F23" s="2">
        <f t="shared" si="3"/>
        <v>80</v>
      </c>
      <c r="G23" s="2">
        <f t="shared" si="3"/>
        <v>75</v>
      </c>
      <c r="H23" s="2">
        <f t="shared" si="3"/>
        <v>70</v>
      </c>
      <c r="I23" s="2">
        <f t="shared" si="3"/>
        <v>65</v>
      </c>
      <c r="J23" s="2">
        <f t="shared" si="3"/>
        <v>60</v>
      </c>
      <c r="K23" s="2">
        <f t="shared" si="3"/>
        <v>55</v>
      </c>
      <c r="L23" s="2">
        <f t="shared" si="3"/>
        <v>50</v>
      </c>
      <c r="M23" s="2">
        <f t="shared" si="3"/>
        <v>45</v>
      </c>
      <c r="N23" s="2">
        <f t="shared" si="3"/>
        <v>40</v>
      </c>
      <c r="O23" s="2">
        <f t="shared" si="3"/>
        <v>35</v>
      </c>
      <c r="P23" s="2">
        <f t="shared" si="3"/>
        <v>30</v>
      </c>
      <c r="Q23" s="2">
        <f t="shared" si="3"/>
        <v>25</v>
      </c>
      <c r="R23" s="2">
        <f t="shared" si="3"/>
        <v>20</v>
      </c>
      <c r="S23" s="2">
        <f t="shared" si="3"/>
        <v>15</v>
      </c>
      <c r="T23" s="2">
        <f t="shared" si="3"/>
        <v>10</v>
      </c>
      <c r="U23" s="2">
        <f t="shared" si="3"/>
        <v>5</v>
      </c>
      <c r="V23" s="2">
        <f t="shared" si="3"/>
        <v>0</v>
      </c>
    </row>
    <row r="24" ht="15.75" customHeight="1">
      <c r="A24" s="25"/>
      <c r="B24" s="26"/>
      <c r="C24" s="25"/>
      <c r="D24" s="25"/>
      <c r="E24" s="25"/>
      <c r="F24" s="25"/>
      <c r="G24" s="25"/>
      <c r="H24" s="25"/>
      <c r="I24" s="25"/>
    </row>
    <row r="25" ht="15.75" customHeight="1">
      <c r="A25" s="25"/>
      <c r="B25" s="26"/>
      <c r="C25" s="25"/>
      <c r="D25" s="25"/>
      <c r="E25" s="25"/>
      <c r="F25" s="25"/>
      <c r="G25" s="25"/>
      <c r="H25" s="25"/>
      <c r="I25" s="2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